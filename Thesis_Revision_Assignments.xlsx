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Overview" sheetId="1" state="visible" r:id="rId3"/>
    <sheet name="Batch 2 — Overview" sheetId="2" state="visible" r:id="rId4"/>
    <sheet name="Batch 2 — Per Member" sheetId="3" state="visible" r:id="rId5"/>
    <sheet name="Per-Member Breakdown" sheetId="4" state="visible" r:id="rId6"/>
    <sheet name="Effort Summar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<sst xmlns="http://schemas.openxmlformats.org/spreadsheetml/2006/main" count="282" uniqueCount="104">
  <si>
    <t xml:space="preserve">THESIS REVISION ASSIGNMENTS</t>
  </si>
  <si>
    <t xml:space="preserve">CS Thesis — QRNG-Based Procedural Maze Generation for RL Generalization</t>
  </si>
  <si>
    <t xml:space="preserve">Section #</t>
  </si>
  <si>
    <t xml:space="preserve">Section</t>
  </si>
  <si>
    <t xml:space="preserve">Issues Found</t>
  </si>
  <si>
    <t xml:space="preserve">Recommendation</t>
  </si>
  <si>
    <t xml:space="preserve">Effort</t>
  </si>
  <si>
    <t xml:space="preserve">Assigned To</t>
  </si>
  <si>
    <t xml:space="preserve">Status</t>
  </si>
  <si>
    <t xml:space="preserve">Abstract</t>
  </si>
  <si>
    <t xml:space="preserve">Long sentences, dense technical wording, some redundancy</t>
  </si>
  <si>
    <t xml:space="preserve">Simplify sentences; reduce technical overload; keep key results clear and direct</t>
  </si>
  <si>
    <t xml:space="preserve">Medium</t>
  </si>
  <si>
    <t xml:space="preserve">Member 1</t>
  </si>
  <si>
    <t xml:space="preserve">Pending</t>
  </si>
  <si>
    <t xml:space="preserve">Background</t>
  </si>
  <si>
    <t xml:space="preserve">Research gap not clearly stated in one direct sentence</t>
  </si>
  <si>
    <t xml:space="preserve">Add at end: "This study addresses the lack of empirical evaluation of QRNG-based randomness in procedural maze generation and its impact on RL generalization."</t>
  </si>
  <si>
    <t xml:space="preserve">Low</t>
  </si>
  <si>
    <t xml:space="preserve">Statement of the Problem</t>
  </si>
  <si>
    <t xml:space="preserve">Some questions are long; slight redundancy</t>
  </si>
  <si>
    <t xml:space="preserve">Make concise; ensure each question is clear, measurable, and aligned to results</t>
  </si>
  <si>
    <t xml:space="preserve">Member 2</t>
  </si>
  <si>
    <t xml:space="preserve">Objectives</t>
  </si>
  <si>
    <t xml:space="preserve">(Review needed)</t>
  </si>
  <si>
    <t xml:space="preserve">Ensure objectives are specific, measurable, and directly testable</t>
  </si>
  <si>
    <t xml:space="preserve">Novelty</t>
  </si>
  <si>
    <t xml:space="preserve">Explained but not emphasized; not framed as novel contribution</t>
  </si>
  <si>
    <t xml:space="preserve">Add: "This study introduces a novel experimental evaluation of quantum-derived randomness in procedural environment generation and its effect on RL generalization."</t>
  </si>
  <si>
    <t xml:space="preserve">Scope and Limitations</t>
  </si>
  <si>
    <t xml:space="preserve">Limitations not strongly tied to real-world application or generalization</t>
  </si>
  <si>
    <t xml:space="preserve">Add: "Results are limited to simulated environments" and "Not validated in real-world robotics or game systems"</t>
  </si>
  <si>
    <t xml:space="preserve">Definition of Terms</t>
  </si>
  <si>
    <t xml:space="preserve">Not strictly one sentence or operational</t>
  </si>
  <si>
    <t xml:space="preserve">Rewrite ALL terms: one sentence only, focused on study usage (e.g., "Entropy. A metric used to quantify randomness in generated maze structures.")</t>
  </si>
  <si>
    <t xml:space="preserve">High</t>
  </si>
  <si>
    <t xml:space="preserve">Literature Review</t>
  </si>
  <si>
    <t xml:space="preserve">Some repetition; some long explanations</t>
  </si>
  <si>
    <t xml:space="preserve">Reduce redundancy; improve synthesis clarity</t>
  </si>
  <si>
    <t xml:space="preserve">Conclusions</t>
  </si>
  <si>
    <t xml:space="preserve">Chapter 5 — 1 objective = 1 conclusion required</t>
  </si>
  <si>
    <t xml:space="preserve">Ensure no extra conclusions; direct alignment between each objective and its conclusion</t>
  </si>
  <si>
    <t xml:space="preserve">Member 3</t>
  </si>
  <si>
    <t xml:space="preserve">Formatting Issues</t>
  </si>
  <si>
    <t xml:space="preserve">Spacing inconsistencies; possible numbering issues; long paragraphs</t>
  </si>
  <si>
    <t xml:space="preserve">Apply APA formatting throughout; clean layout</t>
  </si>
  <si>
    <t xml:space="preserve">Language and Grammar</t>
  </si>
  <si>
    <t xml:space="preserve">Long sentences; redundancy; minor grammar issues</t>
  </si>
  <si>
    <t xml:space="preserve">Simplify; shorten; improve academic tone across entire manuscript</t>
  </si>
  <si>
    <t xml:space="preserve">THESIS REVISION ASSIGNMENTS — BATCH 2</t>
  </si>
  <si>
    <t xml:space="preserve">Sections 6, 10–15  |  Includes side comments from Aldrich Ryan Antony</t>
  </si>
  <si>
    <t xml:space="preserve">Aldrich's Comment</t>
  </si>
  <si>
    <t xml:space="preserve">Significance</t>
  </si>
  <si>
    <t xml:space="preserve">Broad: AI, society, research, etc. Not focused on THIS contribution</t>
  </si>
  <si>
    <t xml:space="preserve">Focus on: procedural generation, DRL training environments, randomness quality</t>
  </si>
  <si>
    <t xml:space="preserve">Aldrich: Just be careful not to go out of scope</t>
  </si>
  <si>
    <t xml:space="preserve">Research Gap</t>
  </si>
  <si>
    <t xml:space="preserve">Too long; not sharply stated</t>
  </si>
  <si>
    <t xml:space="preserve">Condense into a clear, focused statement about the absence of empirical analysis of QRNG-based randomness in procedural maze generation and its effect on DRL generalization</t>
  </si>
  <si>
    <t xml:space="preserve">Aldrich: Don't use the recommended statement — refine it on your own. Does not need to be one sentence. Make it to the point and as long as it needs to be.</t>
  </si>
  <si>
    <t xml:space="preserve">Conceptual Framework</t>
  </si>
  <si>
    <t xml:space="preserve">(Flagged for review — details partially visible)</t>
  </si>
  <si>
    <t xml:space="preserve">Review and ensure framework aligns with methodology and research questions</t>
  </si>
  <si>
    <t xml:space="preserve">—</t>
  </si>
  <si>
    <t xml:space="preserve">Methodology</t>
  </si>
  <si>
    <t xml:space="preserve">Missing pseudocode / full algorithm</t>
  </si>
  <si>
    <t xml:space="preserve">Add full algorithm: "QRNG vs PRNG Training Pipeline" with steps: (1) Generate maze seeds, (2) Construct procedural environments, (3) Train DRL agent, (4) Evaluate performance, (5) Compute entropy and diversity, (6) Perform statistical comparison. Follow the order of the methodology, NOT the order listed here.</t>
  </si>
  <si>
    <t xml:space="preserve">Aldrich: Don't follow the order in the recommendations, do it in the order of the methodology</t>
  </si>
  <si>
    <t xml:space="preserve">Experimental Design</t>
  </si>
  <si>
    <t xml:space="preserve">Needs clearer justification: why QRNG, why metrics</t>
  </si>
  <si>
    <t xml:space="preserve">Add justification per choice. Include a callback to RRL when describing decision points in Chapter 3.</t>
  </si>
  <si>
    <t xml:space="preserve">Aldrich: Will need to do a callback to RRL when describing the decision points in Chapter 3 — it's a bit redundant, but necessary.</t>
  </si>
  <si>
    <t xml:space="preserve">Results</t>
  </si>
  <si>
    <t xml:space="preserve">Some tables not fully explained; too many numerical values without insight</t>
  </si>
  <si>
    <t xml:space="preserve">Add interpretation per table; link results to objectives. Tables already described — just add "as per Table __" referencing the table being described.</t>
  </si>
  <si>
    <t xml:space="preserve">Aldrich: We already described and interpreted it. Dagdag nyo na lang "as per table __" tungkol sa table na dinedescribe nyo.</t>
  </si>
  <si>
    <t xml:space="preserve">Analysis</t>
  </si>
  <si>
    <t xml:space="preserve">Chapter 4 — some descriptive; lacks deeper explanation</t>
  </si>
  <si>
    <t xml:space="preserve">Explain: WHY QRNG affects performance; effect on exploration vs exploitation</t>
  </si>
  <si>
    <t xml:space="preserve">Aldrich: Not sure what she means here... (may need clarification from adviser)</t>
  </si>
  <si>
    <t xml:space="preserve">BATCH 2 — WORKLOAD BY MEMBER</t>
  </si>
  <si>
    <t xml:space="preserve">Member 1  —  2 tasks  |  Effort Score: 5/14</t>
  </si>
  <si>
    <t xml:space="preserve">What To Do</t>
  </si>
  <si>
    <t xml:space="preserve">Aldrich's Note</t>
  </si>
  <si>
    <t xml:space="preserve">Member 2  —  3 tasks  |  Effort Score: 5/14</t>
  </si>
  <si>
    <t xml:space="preserve">Member 3  —  2 tasks  |  Effort Score: 4/14</t>
  </si>
  <si>
    <t xml:space="preserve">WORKLOAD BREAKDOWN BY MEMBER</t>
  </si>
  <si>
    <t xml:space="preserve">Member 1  —  4 tasks  |  Effort Score: 7/22</t>
  </si>
  <si>
    <t xml:space="preserve">Member 2  —  4 tasks  |  Effort Score: 7/22</t>
  </si>
  <si>
    <t xml:space="preserve">Member 3  —  3 tasks  |  Effort Score: 8/22</t>
  </si>
  <si>
    <t xml:space="preserve">EFFORT DISTRIBUTION SUMMARY</t>
  </si>
  <si>
    <t xml:space="preserve">Member</t>
  </si>
  <si>
    <t xml:space="preserve"># of Tasks</t>
  </si>
  <si>
    <t xml:space="preserve">Total Effort Points</t>
  </si>
  <si>
    <t xml:space="preserve">% of Total Effort</t>
  </si>
  <si>
    <t xml:space="preserve">TOTAL</t>
  </si>
  <si>
    <t xml:space="preserve">Distribution Rationale:
• Effort scored as Low=1, Medium=2, High=3 based on scope of revisions
• Member 1: 7 pts (32%) — 4 tasks mixing light edits with heavy Definition of Terms rewrite
• Member 2: 7 pts (32%) — 4 tasks mixing light edits with heavy Literature Review revision
• Member 3: 8 pts (36%) — 3 tasks but all document-wide (Conclusions, Formatting, Grammar)</t>
  </si>
  <si>
    <t xml:space="preserve">BATCH 2 EFFORT DISTRIBUTION</t>
  </si>
  <si>
    <t xml:space="preserve">% of Batch 2 Effort</t>
  </si>
  <si>
    <t xml:space="preserve">COMBINED TOTALS (BATCH 1 + BATCH 2)</t>
  </si>
  <si>
    <t xml:space="preserve">Total Tasks</t>
  </si>
  <si>
    <t xml:space="preserve">Total Effort</t>
  </si>
  <si>
    <t xml:space="preserve">% of All Effort</t>
  </si>
  <si>
    <t xml:space="preserve">GRAND TOTAL</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</si>
</sst>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14"/>
      <color rgb="FF2F5496"/>
      <name val="Arial"/>
      <family val="0"/>
      <charset val="1"/>
    </font>
    <font>
      <i val="true"/>
      <sz val="10"/>
      <color rgb="FF666666"/>
      <name val="Arial"/>
      <family val="0"/>
      <charset val="1"/>
    </font>
    <font>
      <b val="true"/>
      <sz val="11"/>
      <color rgb="FFFFFFFF"/>
      <name val="Arial"/>
      <family val="0"/>
      <charset val="1"/>
    </font>
    <font>
      <b val="true"/>
      <sz val="10"/>
      <name val="Arial"/>
      <family val="0"/>
      <charset val="1"/>
    </font>
    <font>
      <sz val="10"/>
      <name val="Arial"/>
      <family val="0"/>
      <charset val="1"/>
    </font>
    <font>
      <i val="true"/>
      <sz val="9"/>
      <color rgb="FFC55A11"/>
      <name val="Arial"/>
      <family val="0"/>
      <charset val="1"/>
    </font>
    <font>
      <b val="true"/>
      <sz val="12"/>
      <color rgb="FFFFFFFF"/>
      <name val="Arial"/>
      <family val="0"/>
      <charset val="1"/>
    </font>
    <font>
      <sz val="9"/>
      <color rgb="FF555555"/>
      <name val="Arial"/>
      <family val="0"/>
      <charset val="1"/>
    </font>
    <font>
      <b val="true"/>
      <sz val="12"/>
      <color rgb="FF2F5496"/>
      <name val="Arial"/>
      <family val="0"/>
      <charset val="1"/>
    </font>
  </fonts>
  <fills count="7">
    <fill>
      <patternFill patternType="none"/>
    </fill>
    <fill>
      <patternFill patternType="gray125"/>
    </fill>
    <fill>
      <patternFill patternType="solid">
        <fgColor rgb="FF2F5496"/>
        <bgColor rgb="FF555555"/>
      </patternFill>
    </fill>
    <fill>
      <patternFill patternType="solid">
        <fgColor rgb="FFDAE8FC"/>
        <bgColor rgb="FFD5E8D4"/>
      </patternFill>
    </fill>
    <fill>
      <patternFill patternType="solid">
        <fgColor rgb="FFD5E8D4"/>
        <bgColor rgb="FFDAE8FC"/>
      </patternFill>
    </fill>
    <fill>
      <patternFill patternType="solid">
        <fgColor rgb="FFFFF2CC"/>
        <bgColor rgb="FFFFF3E0"/>
      </patternFill>
    </fill>
    <fill>
      <patternFill patternType="solid">
        <fgColor rgb="FFFFF3E0"/>
        <bgColor rgb="FFFFF2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AE8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E8D4"/>
      <rgbColor rgb="FFFFF3E0"/>
      <rgbColor rgb="FF99CCFF"/>
      <rgbColor rgb="FFFF99CC"/>
      <rgbColor rgb="FFCC99FF"/>
      <rgbColor rgb="FFF4B084"/>
      <rgbColor rgb="FF3366FF"/>
      <rgbColor rgb="FF33CCCC"/>
      <rgbColor rgb="FF92D050"/>
      <rgbColor rgb="FFFFCC00"/>
      <rgbColor rgb="FFFF9900"/>
      <rgbColor rgb="FFC55A11"/>
      <rgbColor rgb="FF666666"/>
      <rgbColor rgb="FF969696"/>
      <rgbColor rgb="FF003366"/>
      <rgbColor rgb="FF339966"/>
      <rgbColor rgb="FF003300"/>
      <rgbColor rgb="FF333300"/>
      <rgbColor rgb="FF993300"/>
      <rgbColor rgb="FF993366"/>
      <rgbColor rgb="FF2F5496"/>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G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40"/>
    <col collapsed="false" customWidth="true" hidden="false" outlineLevel="0" max="4" min="4" style="1" width="50"/>
    <col collapsed="false" customWidth="true" hidden="false" outlineLevel="0" max="5" min="5" style="1" width="10"/>
    <col collapsed="false" customWidth="true" hidden="false" outlineLevel="0" max="6" min="6" style="1" width="16"/>
    <col collapsed="false" customWidth="true" hidden="false" outlineLevel="0" max="7" min="7" style="1" width="14"/>
  </cols>
  <sheetData>
    <row r="1" customFormat="false" ht="34.5" hidden="false" customHeight="true" outlineLevel="0" collapsed="false">
      <c r="A1" s="2" t="s">
        <v>0</v>
      </c>
      <c r="B1" s="2"/>
      <c r="C1" s="2"/>
      <c r="D1" s="2"/>
      <c r="E1" s="2"/>
      <c r="F1" s="2"/>
      <c r="G1" s="2"/>
    </row>
    <row r="2" customFormat="false" ht="15" hidden="false" customHeight="true" outlineLevel="0" collapsed="false">
      <c r="A2" s="3" t="s">
        <v>1</v>
      </c>
      <c r="B2" s="3"/>
      <c r="C2" s="3"/>
      <c r="D2" s="3"/>
      <c r="E2" s="3"/>
      <c r="F2" s="3"/>
      <c r="G2" s="3"/>
    </row>
    <row r="4" customFormat="false" ht="27.75" hidden="false" customHeight="true" outlineLevel="0" collapsed="false">
      <c r="A4" s="4" t="s">
        <v>2</v>
      </c>
      <c r="B4" s="4" t="s">
        <v>3</v>
      </c>
      <c r="C4" s="4" t="s">
        <v>4</v>
      </c>
      <c r="D4" s="4" t="s">
        <v>5</v>
      </c>
      <c r="E4" s="4" t="s">
        <v>6</v>
      </c>
      <c r="F4" s="4" t="s">
        <v>7</v>
      </c>
      <c r="G4" s="4" t="s">
        <v>8</v>
      </c>
    </row>
    <row r="5" customFormat="false" ht="45" hidden="false" customHeight="true" outlineLevel="0" collapsed="false">
      <c r="A5" s="5" t="n">
        <v>1</v>
      </c>
      <c r="B5" s="6" t="s">
        <v>9</v>
      </c>
      <c r="C5" s="7" t="s">
        <v>10</v>
      </c>
      <c r="D5" s="7" t="s">
        <v>11</v>
      </c>
      <c r="E5" s="5" t="s">
        <v>12</v>
      </c>
      <c r="F5" s="8" t="s">
        <v>13</v>
      </c>
      <c r="G5" s="5" t="s">
        <v>14</v>
      </c>
    </row>
    <row r="6" customFormat="false" ht="45" hidden="false" customHeight="true" outlineLevel="0" collapsed="false">
      <c r="A6" s="5" t="n">
        <v>2</v>
      </c>
      <c r="B6" s="6" t="s">
        <v>15</v>
      </c>
      <c r="C6" s="7" t="s">
        <v>16</v>
      </c>
      <c r="D6" s="7" t="s">
        <v>17</v>
      </c>
      <c r="E6" s="5" t="s">
        <v>18</v>
      </c>
      <c r="F6" s="8" t="s">
        <v>13</v>
      </c>
      <c r="G6" s="5" t="s">
        <v>14</v>
      </c>
    </row>
    <row r="7" customFormat="false" ht="45" hidden="false" customHeight="true" outlineLevel="0" collapsed="false">
      <c r="A7" s="5" t="n">
        <v>3</v>
      </c>
      <c r="B7" s="6" t="s">
        <v>19</v>
      </c>
      <c r="C7" s="7" t="s">
        <v>20</v>
      </c>
      <c r="D7" s="7" t="s">
        <v>21</v>
      </c>
      <c r="E7" s="5" t="s">
        <v>12</v>
      </c>
      <c r="F7" s="9" t="s">
        <v>22</v>
      </c>
      <c r="G7" s="5" t="s">
        <v>14</v>
      </c>
    </row>
    <row r="8" customFormat="false" ht="45" hidden="false" customHeight="true" outlineLevel="0" collapsed="false">
      <c r="A8" s="5" t="n">
        <v>4</v>
      </c>
      <c r="B8" s="6" t="s">
        <v>23</v>
      </c>
      <c r="C8" s="7" t="s">
        <v>24</v>
      </c>
      <c r="D8" s="7" t="s">
        <v>25</v>
      </c>
      <c r="E8" s="5" t="s">
        <v>18</v>
      </c>
      <c r="F8" s="9" t="s">
        <v>22</v>
      </c>
      <c r="G8" s="5" t="s">
        <v>14</v>
      </c>
    </row>
    <row r="9" customFormat="false" ht="45" hidden="false" customHeight="true" outlineLevel="0" collapsed="false">
      <c r="A9" s="5" t="n">
        <v>5</v>
      </c>
      <c r="B9" s="6" t="s">
        <v>26</v>
      </c>
      <c r="C9" s="7" t="s">
        <v>27</v>
      </c>
      <c r="D9" s="7" t="s">
        <v>28</v>
      </c>
      <c r="E9" s="5" t="s">
        <v>18</v>
      </c>
      <c r="F9" s="8" t="s">
        <v>13</v>
      </c>
      <c r="G9" s="5" t="s">
        <v>14</v>
      </c>
    </row>
    <row r="10" customFormat="false" ht="45" hidden="false" customHeight="true" outlineLevel="0" collapsed="false">
      <c r="A10" s="5" t="n">
        <v>7</v>
      </c>
      <c r="B10" s="6" t="s">
        <v>29</v>
      </c>
      <c r="C10" s="7" t="s">
        <v>30</v>
      </c>
      <c r="D10" s="7" t="s">
        <v>31</v>
      </c>
      <c r="E10" s="5" t="s">
        <v>18</v>
      </c>
      <c r="F10" s="9" t="s">
        <v>22</v>
      </c>
      <c r="G10" s="5" t="s">
        <v>14</v>
      </c>
    </row>
    <row r="11" customFormat="false" ht="45" hidden="false" customHeight="true" outlineLevel="0" collapsed="false">
      <c r="A11" s="5" t="n">
        <v>8</v>
      </c>
      <c r="B11" s="6" t="s">
        <v>32</v>
      </c>
      <c r="C11" s="7" t="s">
        <v>33</v>
      </c>
      <c r="D11" s="7" t="s">
        <v>34</v>
      </c>
      <c r="E11" s="5" t="s">
        <v>35</v>
      </c>
      <c r="F11" s="8" t="s">
        <v>13</v>
      </c>
      <c r="G11" s="5" t="s">
        <v>14</v>
      </c>
    </row>
    <row r="12" customFormat="false" ht="45" hidden="false" customHeight="true" outlineLevel="0" collapsed="false">
      <c r="A12" s="5" t="n">
        <v>9</v>
      </c>
      <c r="B12" s="6" t="s">
        <v>36</v>
      </c>
      <c r="C12" s="7" t="s">
        <v>37</v>
      </c>
      <c r="D12" s="7" t="s">
        <v>38</v>
      </c>
      <c r="E12" s="5" t="s">
        <v>35</v>
      </c>
      <c r="F12" s="9" t="s">
        <v>22</v>
      </c>
      <c r="G12" s="5" t="s">
        <v>14</v>
      </c>
    </row>
    <row r="13" customFormat="false" ht="45" hidden="false" customHeight="true" outlineLevel="0" collapsed="false">
      <c r="A13" s="5" t="n">
        <v>16</v>
      </c>
      <c r="B13" s="6" t="s">
        <v>39</v>
      </c>
      <c r="C13" s="7" t="s">
        <v>40</v>
      </c>
      <c r="D13" s="7" t="s">
        <v>41</v>
      </c>
      <c r="E13" s="5" t="s">
        <v>12</v>
      </c>
      <c r="F13" s="10" t="s">
        <v>42</v>
      </c>
      <c r="G13" s="5" t="s">
        <v>14</v>
      </c>
    </row>
    <row r="14" customFormat="false" ht="45" hidden="false" customHeight="true" outlineLevel="0" collapsed="false">
      <c r="A14" s="5" t="n">
        <v>17</v>
      </c>
      <c r="B14" s="6" t="s">
        <v>43</v>
      </c>
      <c r="C14" s="7" t="s">
        <v>44</v>
      </c>
      <c r="D14" s="7" t="s">
        <v>45</v>
      </c>
      <c r="E14" s="5" t="s">
        <v>35</v>
      </c>
      <c r="F14" s="10" t="s">
        <v>42</v>
      </c>
      <c r="G14" s="5" t="s">
        <v>14</v>
      </c>
    </row>
    <row r="15" customFormat="false" ht="45" hidden="false" customHeight="true" outlineLevel="0" collapsed="false">
      <c r="A15" s="5" t="n">
        <v>18</v>
      </c>
      <c r="B15" s="6" t="s">
        <v>46</v>
      </c>
      <c r="C15" s="7" t="s">
        <v>47</v>
      </c>
      <c r="D15" s="7" t="s">
        <v>48</v>
      </c>
      <c r="E15" s="5" t="s">
        <v>35</v>
      </c>
      <c r="F15" s="10" t="s">
        <v>42</v>
      </c>
      <c r="G15" s="5" t="s">
        <v>14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38"/>
    <col collapsed="false" customWidth="true" hidden="false" outlineLevel="0" max="4" min="4" style="0" width="48"/>
    <col collapsed="false" customWidth="true" hidden="false" outlineLevel="0" max="5" min="5" style="0" width="44"/>
    <col collapsed="false" customWidth="true" hidden="false" outlineLevel="0" max="6" min="6" style="0" width="10"/>
    <col collapsed="false" customWidth="true" hidden="false" outlineLevel="0" max="7" min="7" style="0" width="16"/>
    <col collapsed="false" customWidth="true" hidden="false" outlineLevel="0" max="8" min="8" style="0" width="14"/>
  </cols>
  <sheetData>
    <row r="1" customFormat="false" ht="34.5" hidden="false" customHeight="true" outlineLevel="0" collapsed="false">
      <c r="A1" s="2" t="s">
        <v>49</v>
      </c>
      <c r="B1" s="2"/>
      <c r="C1" s="2"/>
      <c r="D1" s="2"/>
      <c r="E1" s="2"/>
      <c r="F1" s="2"/>
      <c r="G1" s="2"/>
      <c r="H1" s="2"/>
    </row>
    <row r="2" customFormat="false" ht="15" hidden="false" customHeight="false" outlineLevel="0" collapsed="false">
      <c r="A2" s="3" t="s">
        <v>50</v>
      </c>
      <c r="B2" s="3"/>
      <c r="C2" s="3"/>
      <c r="D2" s="3"/>
      <c r="E2" s="3"/>
      <c r="F2" s="3"/>
      <c r="G2" s="3"/>
      <c r="H2" s="3"/>
    </row>
    <row r="4" customFormat="false" ht="27.75" hidden="false" customHeight="true" outlineLevel="0" collapsed="false">
      <c r="A4" s="4" t="s">
        <v>2</v>
      </c>
      <c r="B4" s="4" t="s">
        <v>3</v>
      </c>
      <c r="C4" s="4" t="s">
        <v>4</v>
      </c>
      <c r="D4" s="4" t="s">
        <v>5</v>
      </c>
      <c r="E4" s="4" t="s">
        <v>51</v>
      </c>
      <c r="F4" s="4" t="s">
        <v>6</v>
      </c>
      <c r="G4" s="4" t="s">
        <v>7</v>
      </c>
      <c r="H4" s="4" t="s">
        <v>8</v>
      </c>
    </row>
    <row r="5" customFormat="false" ht="54.75" hidden="false" customHeight="true" outlineLevel="0" collapsed="false">
      <c r="A5" s="11" t="n">
        <v>6</v>
      </c>
      <c r="B5" s="12" t="s">
        <v>52</v>
      </c>
      <c r="C5" s="13" t="s">
        <v>53</v>
      </c>
      <c r="D5" s="13" t="s">
        <v>54</v>
      </c>
      <c r="E5" s="14" t="s">
        <v>55</v>
      </c>
      <c r="F5" s="11" t="s">
        <v>12</v>
      </c>
      <c r="G5" s="9" t="s">
        <v>22</v>
      </c>
      <c r="H5" s="11" t="s">
        <v>14</v>
      </c>
    </row>
    <row r="6" customFormat="false" ht="54.75" hidden="false" customHeight="true" outlineLevel="0" collapsed="false">
      <c r="A6" s="11" t="n">
        <v>10</v>
      </c>
      <c r="B6" s="12" t="s">
        <v>56</v>
      </c>
      <c r="C6" s="13" t="s">
        <v>57</v>
      </c>
      <c r="D6" s="13" t="s">
        <v>58</v>
      </c>
      <c r="E6" s="14" t="s">
        <v>59</v>
      </c>
      <c r="F6" s="11" t="s">
        <v>12</v>
      </c>
      <c r="G6" s="8" t="s">
        <v>13</v>
      </c>
      <c r="H6" s="11" t="s">
        <v>14</v>
      </c>
    </row>
    <row r="7" customFormat="false" ht="54.75" hidden="false" customHeight="true" outlineLevel="0" collapsed="false">
      <c r="A7" s="11" t="n">
        <v>11</v>
      </c>
      <c r="B7" s="12" t="s">
        <v>60</v>
      </c>
      <c r="C7" s="13" t="s">
        <v>61</v>
      </c>
      <c r="D7" s="13" t="s">
        <v>62</v>
      </c>
      <c r="E7" s="15" t="s">
        <v>63</v>
      </c>
      <c r="F7" s="11" t="s">
        <v>18</v>
      </c>
      <c r="G7" s="9" t="s">
        <v>22</v>
      </c>
      <c r="H7" s="11" t="s">
        <v>14</v>
      </c>
    </row>
    <row r="8" customFormat="false" ht="54.75" hidden="false" customHeight="true" outlineLevel="0" collapsed="false">
      <c r="A8" s="11" t="n">
        <v>12</v>
      </c>
      <c r="B8" s="12" t="s">
        <v>64</v>
      </c>
      <c r="C8" s="13" t="s">
        <v>65</v>
      </c>
      <c r="D8" s="13" t="s">
        <v>66</v>
      </c>
      <c r="E8" s="14" t="s">
        <v>67</v>
      </c>
      <c r="F8" s="11" t="s">
        <v>35</v>
      </c>
      <c r="G8" s="8" t="s">
        <v>13</v>
      </c>
      <c r="H8" s="11" t="s">
        <v>14</v>
      </c>
    </row>
    <row r="9" customFormat="false" ht="54.75" hidden="false" customHeight="true" outlineLevel="0" collapsed="false">
      <c r="A9" s="11" t="n">
        <v>13</v>
      </c>
      <c r="B9" s="12" t="s">
        <v>68</v>
      </c>
      <c r="C9" s="13" t="s">
        <v>69</v>
      </c>
      <c r="D9" s="13" t="s">
        <v>70</v>
      </c>
      <c r="E9" s="14" t="s">
        <v>71</v>
      </c>
      <c r="F9" s="11" t="s">
        <v>12</v>
      </c>
      <c r="G9" s="10" t="s">
        <v>42</v>
      </c>
      <c r="H9" s="11" t="s">
        <v>14</v>
      </c>
    </row>
    <row r="10" customFormat="false" ht="54.75" hidden="false" customHeight="true" outlineLevel="0" collapsed="false">
      <c r="A10" s="11" t="n">
        <v>14</v>
      </c>
      <c r="B10" s="12" t="s">
        <v>72</v>
      </c>
      <c r="C10" s="13" t="s">
        <v>73</v>
      </c>
      <c r="D10" s="13" t="s">
        <v>74</v>
      </c>
      <c r="E10" s="14" t="s">
        <v>75</v>
      </c>
      <c r="F10" s="11" t="s">
        <v>12</v>
      </c>
      <c r="G10" s="9" t="s">
        <v>22</v>
      </c>
      <c r="H10" s="11" t="s">
        <v>14</v>
      </c>
    </row>
    <row r="11" customFormat="false" ht="54.75" hidden="false" customHeight="true" outlineLevel="0" collapsed="false">
      <c r="A11" s="11" t="n">
        <v>15</v>
      </c>
      <c r="B11" s="12" t="s">
        <v>76</v>
      </c>
      <c r="C11" s="13" t="s">
        <v>77</v>
      </c>
      <c r="D11" s="13" t="s">
        <v>78</v>
      </c>
      <c r="E11" s="14" t="s">
        <v>79</v>
      </c>
      <c r="F11" s="11" t="s">
        <v>12</v>
      </c>
      <c r="G11" s="10" t="s">
        <v>42</v>
      </c>
      <c r="H11" s="11" t="s">
        <v>14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48"/>
    <col collapsed="false" customWidth="true" hidden="false" outlineLevel="0" max="4" min="4" style="0" width="44"/>
    <col collapsed="false" customWidth="true" hidden="false" outlineLevel="0" max="5" min="5" style="0" width="10"/>
    <col collapsed="false" customWidth="true" hidden="false" outlineLevel="0" max="6" min="6" style="0" width="14"/>
  </cols>
  <sheetData>
    <row r="1" customFormat="false" ht="34.5" hidden="false" customHeight="true" outlineLevel="0" collapsed="false">
      <c r="A1" s="16" t="s">
        <v>80</v>
      </c>
      <c r="B1" s="16"/>
      <c r="C1" s="16"/>
      <c r="D1" s="16"/>
      <c r="E1" s="16"/>
      <c r="F1" s="16"/>
    </row>
    <row r="3" customFormat="false" ht="30" hidden="false" customHeight="true" outlineLevel="0" collapsed="false">
      <c r="A3" s="17" t="s">
        <v>81</v>
      </c>
      <c r="B3" s="17"/>
      <c r="C3" s="17"/>
      <c r="D3" s="17"/>
      <c r="E3" s="17"/>
      <c r="F3" s="17"/>
    </row>
    <row r="4" customFormat="false" ht="15" hidden="false" customHeight="false" outlineLevel="0" collapsed="false">
      <c r="A4" s="18" t="s">
        <v>2</v>
      </c>
      <c r="B4" s="18" t="s">
        <v>3</v>
      </c>
      <c r="C4" s="18" t="s">
        <v>82</v>
      </c>
      <c r="D4" s="18" t="s">
        <v>83</v>
      </c>
      <c r="E4" s="18" t="s">
        <v>6</v>
      </c>
      <c r="F4" s="18" t="s">
        <v>8</v>
      </c>
    </row>
    <row r="5" customFormat="false" ht="54.75" hidden="false" customHeight="true" outlineLevel="0" collapsed="false">
      <c r="A5" s="11" t="n">
        <v>10</v>
      </c>
      <c r="B5" s="19" t="s">
        <v>56</v>
      </c>
      <c r="C5" s="13" t="s">
        <v>58</v>
      </c>
      <c r="D5" s="14" t="s">
        <v>59</v>
      </c>
      <c r="E5" s="11" t="s">
        <v>12</v>
      </c>
      <c r="F5" s="11" t="s">
        <v>14</v>
      </c>
    </row>
    <row r="6" customFormat="false" ht="54.75" hidden="false" customHeight="true" outlineLevel="0" collapsed="false">
      <c r="A6" s="11" t="n">
        <v>12</v>
      </c>
      <c r="B6" s="19" t="s">
        <v>64</v>
      </c>
      <c r="C6" s="13" t="s">
        <v>66</v>
      </c>
      <c r="D6" s="14" t="s">
        <v>67</v>
      </c>
      <c r="E6" s="11" t="s">
        <v>35</v>
      </c>
      <c r="F6" s="11" t="s">
        <v>14</v>
      </c>
    </row>
    <row r="8" customFormat="false" ht="30" hidden="false" customHeight="true" outlineLevel="0" collapsed="false">
      <c r="A8" s="17" t="s">
        <v>84</v>
      </c>
      <c r="B8" s="17"/>
      <c r="C8" s="17"/>
      <c r="D8" s="17"/>
      <c r="E8" s="17"/>
      <c r="F8" s="17"/>
    </row>
    <row r="9" customFormat="false" ht="15" hidden="false" customHeight="false" outlineLevel="0" collapsed="false">
      <c r="A9" s="20" t="s">
        <v>2</v>
      </c>
      <c r="B9" s="20" t="s">
        <v>3</v>
      </c>
      <c r="C9" s="20" t="s">
        <v>82</v>
      </c>
      <c r="D9" s="20" t="s">
        <v>83</v>
      </c>
      <c r="E9" s="20" t="s">
        <v>6</v>
      </c>
      <c r="F9" s="20" t="s">
        <v>8</v>
      </c>
    </row>
    <row r="10" customFormat="false" ht="54.75" hidden="false" customHeight="true" outlineLevel="0" collapsed="false">
      <c r="A10" s="11" t="n">
        <v>6</v>
      </c>
      <c r="B10" s="19" t="s">
        <v>52</v>
      </c>
      <c r="C10" s="13" t="s">
        <v>54</v>
      </c>
      <c r="D10" s="14" t="s">
        <v>55</v>
      </c>
      <c r="E10" s="11" t="s">
        <v>12</v>
      </c>
      <c r="F10" s="11" t="s">
        <v>14</v>
      </c>
    </row>
    <row r="11" customFormat="false" ht="54.75" hidden="false" customHeight="true" outlineLevel="0" collapsed="false">
      <c r="A11" s="11" t="n">
        <v>11</v>
      </c>
      <c r="B11" s="19" t="s">
        <v>60</v>
      </c>
      <c r="C11" s="13" t="s">
        <v>62</v>
      </c>
      <c r="D11" s="15" t="s">
        <v>63</v>
      </c>
      <c r="E11" s="11" t="s">
        <v>18</v>
      </c>
      <c r="F11" s="11" t="s">
        <v>14</v>
      </c>
    </row>
    <row r="12" customFormat="false" ht="54.75" hidden="false" customHeight="true" outlineLevel="0" collapsed="false">
      <c r="A12" s="11" t="n">
        <v>14</v>
      </c>
      <c r="B12" s="19" t="s">
        <v>72</v>
      </c>
      <c r="C12" s="13" t="s">
        <v>74</v>
      </c>
      <c r="D12" s="14" t="s">
        <v>75</v>
      </c>
      <c r="E12" s="11" t="s">
        <v>12</v>
      </c>
      <c r="F12" s="11" t="s">
        <v>14</v>
      </c>
    </row>
    <row r="14" customFormat="false" ht="30" hidden="false" customHeight="true" outlineLevel="0" collapsed="false">
      <c r="A14" s="17" t="s">
        <v>85</v>
      </c>
      <c r="B14" s="17"/>
      <c r="C14" s="17"/>
      <c r="D14" s="17"/>
      <c r="E14" s="17"/>
      <c r="F14" s="17"/>
    </row>
    <row r="15" customFormat="false" ht="15" hidden="false" customHeight="false" outlineLevel="0" collapsed="false">
      <c r="A15" s="21" t="s">
        <v>2</v>
      </c>
      <c r="B15" s="21" t="s">
        <v>3</v>
      </c>
      <c r="C15" s="21" t="s">
        <v>82</v>
      </c>
      <c r="D15" s="21" t="s">
        <v>83</v>
      </c>
      <c r="E15" s="21" t="s">
        <v>6</v>
      </c>
      <c r="F15" s="21" t="s">
        <v>8</v>
      </c>
    </row>
    <row r="16" customFormat="false" ht="54.75" hidden="false" customHeight="true" outlineLevel="0" collapsed="false">
      <c r="A16" s="11" t="n">
        <v>13</v>
      </c>
      <c r="B16" s="19" t="s">
        <v>68</v>
      </c>
      <c r="C16" s="13" t="s">
        <v>70</v>
      </c>
      <c r="D16" s="14" t="s">
        <v>71</v>
      </c>
      <c r="E16" s="11" t="s">
        <v>12</v>
      </c>
      <c r="F16" s="11" t="s">
        <v>14</v>
      </c>
    </row>
    <row r="17" customFormat="false" ht="54.75" hidden="false" customHeight="true" outlineLevel="0" collapsed="false">
      <c r="A17" s="11" t="n">
        <v>15</v>
      </c>
      <c r="B17" s="19" t="s">
        <v>76</v>
      </c>
      <c r="C17" s="13" t="s">
        <v>78</v>
      </c>
      <c r="D17" s="14" t="s">
        <v>79</v>
      </c>
      <c r="E17" s="11" t="s">
        <v>12</v>
      </c>
      <c r="F17" s="11" t="s">
        <v>14</v>
      </c>
    </row>
  </sheetData>
  <mergeCells count="4">
    <mergeCell ref="A1:F1"/>
    <mergeCell ref="A3:F3"/>
    <mergeCell ref="A8:F8"/>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0"/>
    <col collapsed="false" customWidth="true" hidden="false" outlineLevel="0" max="3" min="3" style="1" width="55"/>
    <col collapsed="false" customWidth="true" hidden="false" outlineLevel="0" max="4" min="4" style="1" width="10"/>
    <col collapsed="false" customWidth="true" hidden="false" outlineLevel="0" max="5" min="5" style="1" width="14"/>
  </cols>
  <sheetData>
    <row r="1" customFormat="false" ht="34.5" hidden="false" customHeight="true" outlineLevel="0" collapsed="false">
      <c r="A1" s="16" t="s">
        <v>86</v>
      </c>
      <c r="B1" s="16"/>
      <c r="C1" s="16"/>
      <c r="D1" s="16"/>
      <c r="E1" s="16"/>
    </row>
    <row r="3" customFormat="false" ht="30" hidden="false" customHeight="true" outlineLevel="0" collapsed="false">
      <c r="A3" s="17" t="s">
        <v>87</v>
      </c>
      <c r="B3" s="17"/>
      <c r="C3" s="17"/>
      <c r="D3" s="17"/>
      <c r="E3" s="17"/>
    </row>
    <row r="4" customFormat="false" ht="15" hidden="false" customHeight="true" outlineLevel="0" collapsed="false">
      <c r="A4" s="18" t="s">
        <v>2</v>
      </c>
      <c r="B4" s="18" t="s">
        <v>3</v>
      </c>
      <c r="C4" s="18" t="s">
        <v>82</v>
      </c>
      <c r="D4" s="18" t="s">
        <v>6</v>
      </c>
      <c r="E4" s="18" t="s">
        <v>8</v>
      </c>
    </row>
    <row r="5" customFormat="false" ht="39.75" hidden="false" customHeight="true" outlineLevel="0" collapsed="false">
      <c r="A5" s="5" t="n">
        <v>1</v>
      </c>
      <c r="B5" s="6" t="s">
        <v>9</v>
      </c>
      <c r="C5" s="7" t="s">
        <v>11</v>
      </c>
      <c r="D5" s="5" t="s">
        <v>12</v>
      </c>
      <c r="E5" s="5" t="s">
        <v>14</v>
      </c>
    </row>
    <row r="6" customFormat="false" ht="39.75" hidden="false" customHeight="true" outlineLevel="0" collapsed="false">
      <c r="A6" s="5" t="n">
        <v>2</v>
      </c>
      <c r="B6" s="6" t="s">
        <v>15</v>
      </c>
      <c r="C6" s="7" t="s">
        <v>17</v>
      </c>
      <c r="D6" s="5" t="s">
        <v>18</v>
      </c>
      <c r="E6" s="5" t="s">
        <v>14</v>
      </c>
    </row>
    <row r="7" customFormat="false" ht="39.75" hidden="false" customHeight="true" outlineLevel="0" collapsed="false">
      <c r="A7" s="5" t="n">
        <v>5</v>
      </c>
      <c r="B7" s="6" t="s">
        <v>26</v>
      </c>
      <c r="C7" s="7" t="s">
        <v>28</v>
      </c>
      <c r="D7" s="5" t="s">
        <v>18</v>
      </c>
      <c r="E7" s="5" t="s">
        <v>14</v>
      </c>
    </row>
    <row r="8" customFormat="false" ht="39.75" hidden="false" customHeight="true" outlineLevel="0" collapsed="false">
      <c r="A8" s="5" t="n">
        <v>8</v>
      </c>
      <c r="B8" s="6" t="s">
        <v>32</v>
      </c>
      <c r="C8" s="7" t="s">
        <v>34</v>
      </c>
      <c r="D8" s="5" t="s">
        <v>35</v>
      </c>
      <c r="E8" s="5" t="s">
        <v>14</v>
      </c>
    </row>
    <row r="10" customFormat="false" ht="30" hidden="false" customHeight="true" outlineLevel="0" collapsed="false">
      <c r="A10" s="17" t="s">
        <v>88</v>
      </c>
      <c r="B10" s="17"/>
      <c r="C10" s="17"/>
      <c r="D10" s="17"/>
      <c r="E10" s="17"/>
    </row>
    <row r="11" customFormat="false" ht="15" hidden="false" customHeight="true" outlineLevel="0" collapsed="false">
      <c r="A11" s="20" t="s">
        <v>2</v>
      </c>
      <c r="B11" s="20" t="s">
        <v>3</v>
      </c>
      <c r="C11" s="20" t="s">
        <v>82</v>
      </c>
      <c r="D11" s="20" t="s">
        <v>6</v>
      </c>
      <c r="E11" s="20" t="s">
        <v>8</v>
      </c>
    </row>
    <row r="12" customFormat="false" ht="39.75" hidden="false" customHeight="true" outlineLevel="0" collapsed="false">
      <c r="A12" s="5" t="n">
        <v>3</v>
      </c>
      <c r="B12" s="6" t="s">
        <v>19</v>
      </c>
      <c r="C12" s="7" t="s">
        <v>21</v>
      </c>
      <c r="D12" s="5" t="s">
        <v>12</v>
      </c>
      <c r="E12" s="5" t="s">
        <v>14</v>
      </c>
    </row>
    <row r="13" customFormat="false" ht="39.75" hidden="false" customHeight="true" outlineLevel="0" collapsed="false">
      <c r="A13" s="5" t="n">
        <v>4</v>
      </c>
      <c r="B13" s="6" t="s">
        <v>23</v>
      </c>
      <c r="C13" s="7" t="s">
        <v>25</v>
      </c>
      <c r="D13" s="5" t="s">
        <v>18</v>
      </c>
      <c r="E13" s="5" t="s">
        <v>14</v>
      </c>
    </row>
    <row r="14" customFormat="false" ht="39.75" hidden="false" customHeight="true" outlineLevel="0" collapsed="false">
      <c r="A14" s="5" t="n">
        <v>7</v>
      </c>
      <c r="B14" s="6" t="s">
        <v>29</v>
      </c>
      <c r="C14" s="7" t="s">
        <v>31</v>
      </c>
      <c r="D14" s="5" t="s">
        <v>18</v>
      </c>
      <c r="E14" s="5" t="s">
        <v>14</v>
      </c>
    </row>
    <row r="15" customFormat="false" ht="39.75" hidden="false" customHeight="true" outlineLevel="0" collapsed="false">
      <c r="A15" s="5" t="n">
        <v>9</v>
      </c>
      <c r="B15" s="6" t="s">
        <v>36</v>
      </c>
      <c r="C15" s="7" t="s">
        <v>38</v>
      </c>
      <c r="D15" s="5" t="s">
        <v>35</v>
      </c>
      <c r="E15" s="5" t="s">
        <v>14</v>
      </c>
    </row>
    <row r="17" customFormat="false" ht="30" hidden="false" customHeight="true" outlineLevel="0" collapsed="false">
      <c r="A17" s="17" t="s">
        <v>89</v>
      </c>
      <c r="B17" s="17"/>
      <c r="C17" s="17"/>
      <c r="D17" s="17"/>
      <c r="E17" s="17"/>
    </row>
    <row r="18" customFormat="false" ht="15" hidden="false" customHeight="true" outlineLevel="0" collapsed="false">
      <c r="A18" s="21" t="s">
        <v>2</v>
      </c>
      <c r="B18" s="21" t="s">
        <v>3</v>
      </c>
      <c r="C18" s="21" t="s">
        <v>82</v>
      </c>
      <c r="D18" s="21" t="s">
        <v>6</v>
      </c>
      <c r="E18" s="21" t="s">
        <v>8</v>
      </c>
    </row>
    <row r="19" customFormat="false" ht="39.75" hidden="false" customHeight="true" outlineLevel="0" collapsed="false">
      <c r="A19" s="5" t="n">
        <v>16</v>
      </c>
      <c r="B19" s="6" t="s">
        <v>39</v>
      </c>
      <c r="C19" s="7" t="s">
        <v>41</v>
      </c>
      <c r="D19" s="5" t="s">
        <v>12</v>
      </c>
      <c r="E19" s="5" t="s">
        <v>14</v>
      </c>
    </row>
    <row r="20" customFormat="false" ht="39.75" hidden="false" customHeight="true" outlineLevel="0" collapsed="false">
      <c r="A20" s="5" t="n">
        <v>17</v>
      </c>
      <c r="B20" s="6" t="s">
        <v>43</v>
      </c>
      <c r="C20" s="7" t="s">
        <v>45</v>
      </c>
      <c r="D20" s="5" t="s">
        <v>35</v>
      </c>
      <c r="E20" s="5" t="s">
        <v>14</v>
      </c>
    </row>
    <row r="21" customFormat="false" ht="39.75" hidden="false" customHeight="true" outlineLevel="0" collapsed="false">
      <c r="A21" s="5" t="n">
        <v>18</v>
      </c>
      <c r="B21" s="6" t="s">
        <v>46</v>
      </c>
      <c r="C21" s="7" t="s">
        <v>48</v>
      </c>
      <c r="D21" s="5" t="s">
        <v>35</v>
      </c>
      <c r="E21" s="5" t="s">
        <v>14</v>
      </c>
    </row>
  </sheetData>
  <mergeCells count="4">
    <mergeCell ref="A1:E1"/>
    <mergeCell ref="A3:E3"/>
    <mergeCell ref="A10:E10"/>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084"/>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14"/>
    <col collapsed="false" customWidth="true" hidden="false" outlineLevel="0" max="3" min="3" style="1" width="22"/>
    <col collapsed="false" customWidth="true" hidden="false" outlineLevel="0" max="4" min="4" style="1" width="20"/>
  </cols>
  <sheetData>
    <row r="1" customFormat="false" ht="34.5" hidden="false" customHeight="true" outlineLevel="0" collapsed="false">
      <c r="A1" s="16" t="s">
        <v>90</v>
      </c>
      <c r="B1" s="16"/>
      <c r="C1" s="16"/>
      <c r="D1" s="16"/>
    </row>
    <row r="3" customFormat="false" ht="15" hidden="false" customHeight="true" outlineLevel="0" collapsed="false">
      <c r="A3" s="22" t="s">
        <v>91</v>
      </c>
      <c r="B3" s="22" t="s">
        <v>92</v>
      </c>
      <c r="C3" s="22" t="s">
        <v>93</v>
      </c>
      <c r="D3" s="22" t="s">
        <v>94</v>
      </c>
    </row>
    <row r="4" customFormat="false" ht="15" hidden="false" customHeight="true" outlineLevel="0" collapsed="false">
      <c r="A4" s="23" t="s">
        <v>13</v>
      </c>
      <c r="B4" s="24" t="n">
        <v>4</v>
      </c>
      <c r="C4" s="24" t="n">
        <v>7</v>
      </c>
      <c r="D4" s="25" t="n">
        <f aca="false">C4/C7</f>
        <v>0.318181818181818</v>
      </c>
    </row>
    <row r="5" customFormat="false" ht="15" hidden="false" customHeight="true" outlineLevel="0" collapsed="false">
      <c r="A5" s="26" t="s">
        <v>22</v>
      </c>
      <c r="B5" s="24" t="n">
        <v>4</v>
      </c>
      <c r="C5" s="24" t="n">
        <v>7</v>
      </c>
      <c r="D5" s="25" t="n">
        <f aca="false">C5/C7</f>
        <v>0.318181818181818</v>
      </c>
    </row>
    <row r="6" customFormat="false" ht="15" hidden="false" customHeight="true" outlineLevel="0" collapsed="false">
      <c r="A6" s="27" t="s">
        <v>42</v>
      </c>
      <c r="B6" s="24" t="n">
        <v>3</v>
      </c>
      <c r="C6" s="24" t="n">
        <v>8</v>
      </c>
      <c r="D6" s="25" t="n">
        <f aca="false">C6/C7</f>
        <v>0.363636363636364</v>
      </c>
    </row>
    <row r="7" customFormat="false" ht="15" hidden="false" customHeight="true" outlineLevel="0" collapsed="false">
      <c r="A7" s="6" t="s">
        <v>95</v>
      </c>
      <c r="B7" s="28" t="n">
        <f aca="false">SUM(B4:B6)</f>
        <v>11</v>
      </c>
      <c r="C7" s="28" t="n">
        <f aca="false">SUM(C4:C6)</f>
        <v>22</v>
      </c>
      <c r="D7" s="29"/>
    </row>
    <row r="9" customFormat="false" ht="15" hidden="false" customHeight="true" outlineLevel="0" collapsed="false">
      <c r="A9" s="30" t="s">
        <v>96</v>
      </c>
      <c r="B9" s="30"/>
      <c r="C9" s="30"/>
      <c r="D9" s="30"/>
    </row>
    <row r="10" customFormat="false" ht="15" hidden="false" customHeight="true" outlineLevel="0" collapsed="false">
      <c r="A10" s="30"/>
      <c r="B10" s="30"/>
      <c r="C10" s="30"/>
      <c r="D10" s="30"/>
    </row>
    <row r="11" customFormat="false" ht="15" hidden="false" customHeight="true" outlineLevel="0" collapsed="false">
      <c r="A11" s="30"/>
      <c r="B11" s="30"/>
      <c r="C11" s="30"/>
      <c r="D11" s="30"/>
    </row>
    <row r="13" customFormat="false" ht="30" hidden="false" customHeight="true" outlineLevel="0" collapsed="false">
      <c r="A13" s="31" t="s">
        <v>97</v>
      </c>
      <c r="B13" s="31"/>
      <c r="C13" s="31"/>
      <c r="D13" s="31"/>
    </row>
    <row r="14" customFormat="false" ht="15" hidden="false" customHeight="false" outlineLevel="0" collapsed="false">
      <c r="A14" s="22" t="s">
        <v>91</v>
      </c>
      <c r="B14" s="22" t="s">
        <v>92</v>
      </c>
      <c r="C14" s="22" t="s">
        <v>93</v>
      </c>
      <c r="D14" s="22" t="s">
        <v>98</v>
      </c>
    </row>
    <row r="15" customFormat="false" ht="15" hidden="false" customHeight="false" outlineLevel="0" collapsed="false">
      <c r="A15" s="32" t="s">
        <v>13</v>
      </c>
      <c r="B15" s="24" t="n">
        <v>2</v>
      </c>
      <c r="C15" s="24" t="n">
        <v>5</v>
      </c>
      <c r="D15" s="25" t="n">
        <f aca="false">C15/C18</f>
        <v>0.357142857142857</v>
      </c>
    </row>
    <row r="16" customFormat="false" ht="15" hidden="false" customHeight="false" outlineLevel="0" collapsed="false">
      <c r="A16" s="33" t="s">
        <v>22</v>
      </c>
      <c r="B16" s="24" t="n">
        <v>3</v>
      </c>
      <c r="C16" s="24" t="n">
        <v>5</v>
      </c>
      <c r="D16" s="25" t="n">
        <f aca="false">C16/C18</f>
        <v>0.357142857142857</v>
      </c>
    </row>
    <row r="17" customFormat="false" ht="15" hidden="false" customHeight="false" outlineLevel="0" collapsed="false">
      <c r="A17" s="34" t="s">
        <v>42</v>
      </c>
      <c r="B17" s="24" t="n">
        <v>2</v>
      </c>
      <c r="C17" s="24" t="n">
        <v>4</v>
      </c>
      <c r="D17" s="25" t="n">
        <f aca="false">C17/C18</f>
        <v>0.285714285714286</v>
      </c>
    </row>
    <row r="18" customFormat="false" ht="15" hidden="false" customHeight="false" outlineLevel="0" collapsed="false">
      <c r="A18" s="19" t="s">
        <v>95</v>
      </c>
      <c r="B18" s="28" t="n">
        <f aca="false">SUM(B15:B17)</f>
        <v>7</v>
      </c>
      <c r="C18" s="28" t="n">
        <f aca="false">SUM(C15:C17)</f>
        <v>14</v>
      </c>
      <c r="D18" s="35"/>
    </row>
    <row r="20" customFormat="false" ht="15" hidden="false" customHeight="false" outlineLevel="0" collapsed="false">
      <c r="A20" s="31" t="s">
        <v>99</v>
      </c>
      <c r="B20" s="31"/>
      <c r="C20" s="31"/>
      <c r="D20" s="31"/>
    </row>
    <row r="21" customFormat="false" ht="15" hidden="false" customHeight="false" outlineLevel="0" collapsed="false">
      <c r="A21" s="22" t="s">
        <v>91</v>
      </c>
      <c r="B21" s="22" t="s">
        <v>100</v>
      </c>
      <c r="C21" s="22" t="s">
        <v>101</v>
      </c>
      <c r="D21" s="22" t="s">
        <v>102</v>
      </c>
    </row>
    <row r="22" customFormat="false" ht="15" hidden="false" customHeight="false" outlineLevel="0" collapsed="false">
      <c r="A22" s="32" t="s">
        <v>13</v>
      </c>
      <c r="B22" s="24" t="n">
        <f aca="false">B4+B15</f>
        <v>6</v>
      </c>
      <c r="C22" s="24" t="n">
        <f aca="false">C4+C15</f>
        <v>12</v>
      </c>
      <c r="D22" s="25" t="n">
        <f aca="false">C22/C25</f>
        <v>0.333333333333333</v>
      </c>
    </row>
    <row r="23" customFormat="false" ht="15" hidden="false" customHeight="false" outlineLevel="0" collapsed="false">
      <c r="A23" s="33" t="s">
        <v>22</v>
      </c>
      <c r="B23" s="24" t="n">
        <f aca="false">B5+B16</f>
        <v>7</v>
      </c>
      <c r="C23" s="24" t="n">
        <f aca="false">C5+C16</f>
        <v>12</v>
      </c>
      <c r="D23" s="25" t="n">
        <f aca="false">C23/C25</f>
        <v>0.333333333333333</v>
      </c>
    </row>
    <row r="24" customFormat="false" ht="15" hidden="false" customHeight="false" outlineLevel="0" collapsed="false">
      <c r="A24" s="34" t="s">
        <v>42</v>
      </c>
      <c r="B24" s="24" t="n">
        <f aca="false">B6+B17</f>
        <v>5</v>
      </c>
      <c r="C24" s="24" t="n">
        <f aca="false">C6+C17</f>
        <v>12</v>
      </c>
      <c r="D24" s="25" t="n">
        <f aca="false">C24/C25</f>
        <v>0.333333333333333</v>
      </c>
    </row>
    <row r="25" customFormat="false" ht="15" hidden="false" customHeight="false" outlineLevel="0" collapsed="false">
      <c r="A25" s="19" t="s">
        <v>103</v>
      </c>
      <c r="B25" s="28" t="n">
        <f aca="false">SUM(B22:B24)</f>
        <v>18</v>
      </c>
      <c r="C25" s="28" t="n">
        <f aca="false">SUM(C22:C24)</f>
        <v>36</v>
      </c>
      <c r="D25" s="35"/>
    </row>
  </sheetData>
  <mergeCells count="4">
    <mergeCell ref="A1:D1"/>
    <mergeCell ref="A9:D11"/>
    <mergeCell ref="A13:D13"/>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2026-04-04T05:21:07Z</dcterms:created>
  <dc:creator>openpyxl</dc:creator>
  <dc:description/>
  <dc:language>en-US</dc:language>
  <cp:lastModifiedBy/>
  <dcterms:modified xsi:type="dcterms:W3CDTF">2026-04-04T16:09:55Z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